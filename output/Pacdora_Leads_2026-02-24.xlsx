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Latest_Update</t>
        </is>
      </c>
      <c r="D1" t="inlineStr">
        <is>
          <t>Email</t>
        </is>
      </c>
      <c r="E1" t="inlineStr">
        <is>
          <t>Channel_URL</t>
        </is>
      </c>
      <c r="F1" t="inlineStr">
        <is>
          <t>One_Click_Action</t>
        </is>
      </c>
    </row>
    <row r="2">
      <c r="A2" t="inlineStr">
        <is>
          <t>The Angry Designer Podcast for Graphic Designers</t>
        </is>
      </c>
      <c r="B2" t="n">
        <v>13900</v>
      </c>
      <c r="C2" t="inlineStr">
        <is>
          <t>2026-02-24</t>
        </is>
      </c>
      <c r="D2" t="inlineStr"/>
      <c r="E2" t="inlineStr">
        <is>
          <t>https://youtube.com/channel/UCAVnxcg2CYzRr5_A1xVo9oA</t>
        </is>
      </c>
      <c r="F2">
        <f>HYPERLINK("mailto:?subject=Collab%20Proposal%3A%20AI%203D%20Tools%20for%20your%20Audience&amp;body=Hi%20The%20Angry%20Designer%20Podcast%20for%20Graphic%20Designers%2C%0A%0ALove%20your%20content%21%20I%27m%20Doris%20from%20Pacdora...", "Click to Email")</f>
        <v/>
      </c>
    </row>
    <row r="3">
      <c r="A3" t="inlineStr">
        <is>
          <t>graphic design park</t>
        </is>
      </c>
      <c r="B3" t="n">
        <v>8580</v>
      </c>
      <c r="C3" t="inlineStr">
        <is>
          <t>2026-02-22</t>
        </is>
      </c>
      <c r="D3" t="inlineStr"/>
      <c r="E3" t="inlineStr">
        <is>
          <t>https://youtube.com/channel/UC85alfOx4tUZUmPRmp8ZJBg</t>
        </is>
      </c>
      <c r="F3">
        <f>HYPERLINK("mailto:?subject=Collab%20Proposal%3A%20AI%203D%20Tools%20for%20your%20Audience&amp;body=Hi%20graphic%20design%20park%2C%0A%0ALove%20your%20content%21%20I%27m%20Doris%20from%20Pacdora...", "Click to Email")</f>
        <v/>
      </c>
    </row>
    <row r="4">
      <c r="A4" t="inlineStr">
        <is>
          <t>DGH Graphic Design</t>
        </is>
      </c>
      <c r="B4" t="n">
        <v>12500</v>
      </c>
      <c r="C4" t="inlineStr">
        <is>
          <t>2026-02-19</t>
        </is>
      </c>
      <c r="D4" t="inlineStr"/>
      <c r="E4" t="inlineStr">
        <is>
          <t>https://youtube.com/channel/UClEBfDS5SO5qw7yvvKYoNiA</t>
        </is>
      </c>
      <c r="F4">
        <f>HYPERLINK("mailto:?subject=Collab%20Proposal%3A%20AI%203D%20Tools%20for%20your%20Audience&amp;body=Hi%20DGH%20Graphic%20Design%2C%0A%0ALove%20your%20content%21%20I%27m%20Doris%20from%20Pacdora...", "Click to Email")</f>
        <v/>
      </c>
    </row>
    <row r="5">
      <c r="A5" t="inlineStr">
        <is>
          <t>Graphic Design Studio</t>
        </is>
      </c>
      <c r="B5" t="n">
        <v>17000</v>
      </c>
      <c r="C5" t="inlineStr">
        <is>
          <t>2025-12-14</t>
        </is>
      </c>
      <c r="D5" t="inlineStr"/>
      <c r="E5" t="inlineStr">
        <is>
          <t>https://youtube.com/channel/UCPO4KsEEH0uJx6kJ2Dudu-A</t>
        </is>
      </c>
      <c r="F5">
        <f>HYPERLINK("mailto:?subject=Collab%20Proposal%3A%20AI%203D%20Tools%20for%20your%20Audience&amp;body=Hi%20Graphic%20Design%20Studio%2C%0A%0ALove%20your%20content%21%20I%27m%20Doris%20from%20Pacdora...", "Click to Email")</f>
        <v/>
      </c>
    </row>
    <row r="6">
      <c r="A6" t="inlineStr">
        <is>
          <t>Jhex Graphic Design</t>
        </is>
      </c>
      <c r="B6" t="n">
        <v>13900</v>
      </c>
      <c r="C6" t="inlineStr">
        <is>
          <t>2026-02-05</t>
        </is>
      </c>
      <c r="D6" t="inlineStr"/>
      <c r="E6" t="inlineStr">
        <is>
          <t>https://youtube.com/channel/UCesi8lYXSRJ8hID6aHFhk9w</t>
        </is>
      </c>
      <c r="F6">
        <f>HYPERLINK("mailto:?subject=Collab%20Proposal%3A%20AI%203D%20Tools%20for%20your%20Audience&amp;body=Hi%20Jhex%20Graphic%20Design%2C%0A%0ALove%20your%20content%21%20I%27m%20Doris%20from%20Pacdora...", "Click to Email")</f>
        <v/>
      </c>
    </row>
    <row r="7">
      <c r="A7" t="inlineStr">
        <is>
          <t>Becky’s Graphic Design®, LLC</t>
        </is>
      </c>
      <c r="B7" t="n">
        <v>10000</v>
      </c>
      <c r="C7" t="inlineStr">
        <is>
          <t>2025-12-08</t>
        </is>
      </c>
      <c r="D7" t="inlineStr"/>
      <c r="E7" t="inlineStr">
        <is>
          <t>https://youtube.com/channel/UC3qPmjQLDhFnQjYOjtFEP8Q</t>
        </is>
      </c>
      <c r="F7">
        <f>HYPERLINK("mailto:?subject=Collab%20Proposal%3A%20AI%203D%20Tools%20for%20your%20Audience&amp;body=Hi%20Becky%E2%80%99s%20Graphic%20Design%C2%AE%2C%20LLC%2C%0A%0ALove%20your%20content%21%20I%27m%20Doris%20from%20Pacdora...", "Click to Email")</f>
        <v/>
      </c>
    </row>
    <row r="8">
      <c r="A8" t="inlineStr">
        <is>
          <t>N.A Graphic Design</t>
        </is>
      </c>
      <c r="B8" t="n">
        <v>5470</v>
      </c>
      <c r="C8" t="inlineStr">
        <is>
          <t>2026-01-14</t>
        </is>
      </c>
      <c r="D8" t="inlineStr"/>
      <c r="E8" t="inlineStr">
        <is>
          <t>https://youtube.com/channel/UC_G5PxJHCNtXX0G0K2_LLkg</t>
        </is>
      </c>
      <c r="F8">
        <f>HYPERLINK("mailto:?subject=Collab%20Proposal%3A%20AI%203D%20Tools%20for%20your%20Audience&amp;body=Hi%20N.A%20Graphic%20Design%2C%0A%0ALove%20your%20content%21%20I%27m%20Doris%20from%20Pacdora...", "Click to Email")</f>
        <v/>
      </c>
    </row>
    <row r="9">
      <c r="A9" t="inlineStr">
        <is>
          <t>Print Design Academy - Graphic Design for Print</t>
        </is>
      </c>
      <c r="B9" t="n">
        <v>10400</v>
      </c>
      <c r="C9" t="inlineStr">
        <is>
          <t>2026-01-17</t>
        </is>
      </c>
      <c r="D9" t="inlineStr"/>
      <c r="E9" t="inlineStr">
        <is>
          <t>https://youtube.com/channel/UC1r3yc7f4_vvSgESYOuR3RQ</t>
        </is>
      </c>
      <c r="F9">
        <f>HYPERLINK("mailto:?subject=Collab%20Proposal%3A%20AI%203D%20Tools%20for%20your%20Audience&amp;body=Hi%20Print%20Design%20Academy%20-%20Graphic%20Design%20for%20Print%2C%0A%0ALove%20your%20content%21%20I%27m%20Doris%20from%20Pacdora...", "Click to Email")</f>
        <v/>
      </c>
    </row>
    <row r="10">
      <c r="A10" t="inlineStr">
        <is>
          <t>Liberty Graphic designs</t>
        </is>
      </c>
      <c r="B10" t="n">
        <v>32200</v>
      </c>
      <c r="C10" t="inlineStr">
        <is>
          <t>2025-12-29</t>
        </is>
      </c>
      <c r="D10" t="inlineStr"/>
      <c r="E10" t="inlineStr">
        <is>
          <t>https://youtube.com/channel/UC2CvSOxZe3SLHj2BSGM3Nww</t>
        </is>
      </c>
      <c r="F10">
        <f>HYPERLINK("mailto:?subject=Collab%20Proposal%3A%20AI%203D%20Tools%20for%20your%20Audience&amp;body=Hi%20Liberty%20Graphic%20designs%2C%0A%0ALove%20your%20content%21%20I%27m%20Doris%20from%20Pacdora...", "Click to Email")</f>
        <v/>
      </c>
    </row>
    <row r="11">
      <c r="A11" t="inlineStr">
        <is>
          <t>Uvaish The Graphic Designer</t>
        </is>
      </c>
      <c r="B11" t="n">
        <v>3920</v>
      </c>
      <c r="C11" t="inlineStr">
        <is>
          <t>2026-02-12</t>
        </is>
      </c>
      <c r="D11" t="inlineStr">
        <is>
          <t>uvaishraza27@gmail.com</t>
        </is>
      </c>
      <c r="E11" t="inlineStr">
        <is>
          <t>https://youtube.com/channel/UCipjLO5KDolBCqvrR2P2XFg</t>
        </is>
      </c>
      <c r="F11">
        <f>HYPERLINK("mailto:?subject=Collab%20Proposal%3A%20AI%203D%20Tools%20for%20your%20Audience&amp;body=Hi%20Uvaish%20The%20Graphic%20Designer%2C%0A%0ALove%20your%20content%21%20I%27m%20Doris%20from%20Pacdora...", "Click to Email")</f>
        <v/>
      </c>
    </row>
    <row r="12">
      <c r="A12" t="inlineStr">
        <is>
          <t>Priyanka - Graphic Designer</t>
        </is>
      </c>
      <c r="B12" t="n">
        <v>42600</v>
      </c>
      <c r="C12" t="inlineStr">
        <is>
          <t>2026-02-22</t>
        </is>
      </c>
      <c r="D12" t="inlineStr"/>
      <c r="E12" t="inlineStr">
        <is>
          <t>https://youtube.com/channel/UCbQvJ0JFfa0NmSWsy4bUzaA</t>
        </is>
      </c>
      <c r="F12">
        <f>HYPERLINK("mailto:?subject=Collab%20Proposal%3A%20AI%203D%20Tools%20for%20your%20Audience&amp;body=Hi%20Priyanka%20-%20Graphic%20Designer%2C%0A%0ALove%20your%20content%21%20I%27m%20Doris%20from%20Pacdora...", "Click to Email")</f>
        <v/>
      </c>
    </row>
    <row r="13">
      <c r="A13" t="inlineStr">
        <is>
          <t xml:space="preserve">MrKane |Graphic Designer </t>
        </is>
      </c>
      <c r="B13" t="n">
        <v>3940</v>
      </c>
      <c r="C13" t="inlineStr">
        <is>
          <t>2026-02-12</t>
        </is>
      </c>
      <c r="D13" t="inlineStr"/>
      <c r="E13" t="inlineStr">
        <is>
          <t>https://youtube.com/channel/UCICXo3in3ZPNB1zpyNKfFvw</t>
        </is>
      </c>
      <c r="F13">
        <f>HYPERLINK("mailto:?subject=Collab%20Proposal%3A%20AI%203D%20Tools%20for%20your%20Audience&amp;body=Hi%20MrKane%20%7CGraphic%20Designer%20%2C%0A%0ALove%20your%20content%21%20I%27m%20Doris%20from%20Pacdora...", "Click to Email")</f>
        <v/>
      </c>
    </row>
    <row r="14">
      <c r="A14" t="inlineStr">
        <is>
          <t>MAYA GRAPHICS</t>
        </is>
      </c>
      <c r="B14" t="n">
        <v>64100</v>
      </c>
      <c r="C14" t="inlineStr">
        <is>
          <t>2025-12-20</t>
        </is>
      </c>
      <c r="D14" t="inlineStr"/>
      <c r="E14" t="inlineStr">
        <is>
          <t>https://youtube.com/channel/UC4lLyA3mu5hITbYPY_WI2sg</t>
        </is>
      </c>
      <c r="F14">
        <f>HYPERLINK("mailto:?subject=Collab%20Proposal%3A%20AI%203D%20Tools%20for%20your%20Audience&amp;body=Hi%20MAYA%20GRAPHICS%2C%0A%0ALove%20your%20content%21%20I%27m%20Doris%20from%20Pacdora...", "Click to Email")</f>
        <v/>
      </c>
    </row>
    <row r="15">
      <c r="A15" t="inlineStr">
        <is>
          <t>Graphic Designer Jitendra</t>
        </is>
      </c>
      <c r="B15" t="n">
        <v>43300</v>
      </c>
      <c r="C15" t="inlineStr">
        <is>
          <t>2026-02-22</t>
        </is>
      </c>
      <c r="D15" t="inlineStr">
        <is>
          <t>jitendra.pathak337@gmail.com</t>
        </is>
      </c>
      <c r="E15" t="inlineStr">
        <is>
          <t>https://youtube.com/channel/UClWcpBSCHB_dcNuKMyPNsmA</t>
        </is>
      </c>
      <c r="F15">
        <f>HYPERLINK("mailto:?subject=Collab%20Proposal%3A%20AI%203D%20Tools%20for%20your%20Audience&amp;body=Hi%20Graphic%20Designer%20Jitendra%2C%0A%0ALove%20your%20content%21%20I%27m%20Doris%20from%20Pacdora...", "Click to Email")</f>
        <v/>
      </c>
    </row>
    <row r="16">
      <c r="A16" t="inlineStr">
        <is>
          <t xml:space="preserve">Islamic Art Graphic Design </t>
        </is>
      </c>
      <c r="B16" t="n">
        <v>8200</v>
      </c>
      <c r="C16" t="inlineStr">
        <is>
          <t>2026-02-15</t>
        </is>
      </c>
      <c r="D16" t="inlineStr"/>
      <c r="E16" t="inlineStr">
        <is>
          <t>https://youtube.com/channel/UCbBPYlk-NLa-_9Ifh4XImLg</t>
        </is>
      </c>
      <c r="F16">
        <f>HYPERLINK("mailto:?subject=Collab%20Proposal%3A%20AI%203D%20Tools%20for%20your%20Audience&amp;body=Hi%20Islamic%20Art%20Graphic%20Design%20%2C%0A%0ALove%20your%20content%21%20I%27m%20Doris%20from%20Pacdora...", "Click to Email")</f>
        <v/>
      </c>
    </row>
    <row r="17">
      <c r="A17" t="inlineStr">
        <is>
          <t>Salvo Graphic Designer</t>
        </is>
      </c>
      <c r="B17" t="n">
        <v>10400</v>
      </c>
      <c r="C17" t="inlineStr">
        <is>
          <t>2026-02-17</t>
        </is>
      </c>
      <c r="D17" t="inlineStr"/>
      <c r="E17" t="inlineStr">
        <is>
          <t>https://youtube.com/channel/UCBRf8kQkdZw8X2LCiF60mJA</t>
        </is>
      </c>
      <c r="F17">
        <f>HYPERLINK("mailto:?subject=Collab%20Proposal%3A%20AI%203D%20Tools%20for%20your%20Audience&amp;body=Hi%20Salvo%20Graphic%20Designer%2C%0A%0ALove%20your%20content%21%20I%27m%20Doris%20from%20Pacdora...", "Click to Email")</f>
        <v/>
      </c>
    </row>
    <row r="18">
      <c r="A18" t="inlineStr">
        <is>
          <t>Y7IA Graphic Designer</t>
        </is>
      </c>
      <c r="B18" t="n">
        <v>33300</v>
      </c>
      <c r="C18" t="inlineStr">
        <is>
          <t>2026-02-03</t>
        </is>
      </c>
      <c r="D18" t="inlineStr"/>
      <c r="E18" t="inlineStr">
        <is>
          <t>https://youtube.com/channel/UC5e2ib_wLjb0oOART_z2GKQ</t>
        </is>
      </c>
      <c r="F18">
        <f>HYPERLINK("mailto:?subject=Collab%20Proposal%3A%20AI%203D%20Tools%20for%20your%20Audience&amp;body=Hi%20Y7IA%20Graphic%20Designer%2C%0A%0ALove%20your%20content%21%20I%27m%20Doris%20from%20Pacdora...", "Click to Email")</f>
        <v/>
      </c>
    </row>
    <row r="19">
      <c r="A19" t="inlineStr">
        <is>
          <t xml:space="preserve">Golu Graphic Designer </t>
        </is>
      </c>
      <c r="B19" t="n">
        <v>17400</v>
      </c>
      <c r="C19" t="inlineStr">
        <is>
          <t>2026-02-23</t>
        </is>
      </c>
      <c r="D19" t="inlineStr"/>
      <c r="E19" t="inlineStr">
        <is>
          <t>https://youtube.com/channel/UC9iib9l9NrvNWs2DtOvyCbA</t>
        </is>
      </c>
      <c r="F19">
        <f>HYPERLINK("mailto:?subject=Collab%20Proposal%3A%20AI%203D%20Tools%20for%20your%20Audience&amp;body=Hi%20Golu%20Graphic%20Designer%20%2C%0A%0ALove%20your%20content%21%20I%27m%20Doris%20from%20Pacdora...", "Click to Email")</f>
        <v/>
      </c>
    </row>
    <row r="20">
      <c r="A20" t="inlineStr">
        <is>
          <t>Capitan Graphic Designer</t>
        </is>
      </c>
      <c r="B20" t="n">
        <v>5270</v>
      </c>
      <c r="C20" t="inlineStr">
        <is>
          <t>2026-02-23</t>
        </is>
      </c>
      <c r="D20" t="inlineStr"/>
      <c r="E20" t="inlineStr">
        <is>
          <t>https://youtube.com/channel/UCdoWTVR7WWfX5-PqHTQ3gyA</t>
        </is>
      </c>
      <c r="F20">
        <f>HYPERLINK("mailto:?subject=Collab%20Proposal%3A%20AI%203D%20Tools%20for%20your%20Audience&amp;body=Hi%20Capitan%20Graphic%20Designer%2C%0A%0ALove%20your%20content%21%20I%27m%20Doris%20from%20Pacdora...", "Click to Email")</f>
        <v/>
      </c>
    </row>
    <row r="21">
      <c r="A21" t="inlineStr">
        <is>
          <t>Design Tutorial Studio</t>
        </is>
      </c>
      <c r="B21" t="n">
        <v>3200</v>
      </c>
      <c r="C21" t="inlineStr">
        <is>
          <t>2026-02-23</t>
        </is>
      </c>
      <c r="D21" t="inlineStr">
        <is>
          <t>zainasifn92@gmail.com</t>
        </is>
      </c>
      <c r="E21" t="inlineStr">
        <is>
          <t>https://youtube.com/channel/UCnyseyv9rdBH696Dl6MDW1Q</t>
        </is>
      </c>
      <c r="F21">
        <f>HYPERLINK("mailto:?subject=Collab%20Proposal%3A%20AI%203D%20Tools%20for%20your%20Audience&amp;body=Hi%20Design%20Tutorial%20Studio%2C%0A%0ALove%20your%20content%21%20I%27m%20Doris%20from%20Pacdora...", "Click to Email")</f>
        <v/>
      </c>
    </row>
    <row r="22">
      <c r="A22" t="inlineStr">
        <is>
          <t>CNC design tutorial</t>
        </is>
      </c>
      <c r="B22" t="n">
        <v>1800</v>
      </c>
      <c r="C22" t="inlineStr">
        <is>
          <t>2025-12-18</t>
        </is>
      </c>
      <c r="D22" t="inlineStr">
        <is>
          <t>zubairqureshi9787@gmail.com</t>
        </is>
      </c>
      <c r="E22" t="inlineStr">
        <is>
          <t>https://youtube.com/channel/UCPNdAxllJNGDR3ZagSEcuFQ</t>
        </is>
      </c>
      <c r="F22">
        <f>HYPERLINK("mailto:?subject=Collab%20Proposal%3A%20AI%203D%20Tools%20for%20your%20Audience&amp;body=Hi%20CNC%20design%20tutorial%2C%0A%0ALove%20your%20content%21%20I%27m%20Doris%20from%20Pacdora...", "Click to Email")</f>
        <v/>
      </c>
    </row>
    <row r="23">
      <c r="A23" t="inlineStr">
        <is>
          <t>Pattern Design Tutorial</t>
        </is>
      </c>
      <c r="B23" t="n">
        <v>1120</v>
      </c>
      <c r="C23" t="inlineStr">
        <is>
          <t>2026-02-09</t>
        </is>
      </c>
      <c r="D23" t="inlineStr"/>
      <c r="E23" t="inlineStr">
        <is>
          <t>https://youtube.com/channel/UC4Bo-fZK6urnl-wdsLsjILg</t>
        </is>
      </c>
      <c r="F23">
        <f>HYPERLINK("mailto:?subject=Collab%20Proposal%3A%20AI%203D%20Tools%20for%20your%20Audience&amp;body=Hi%20Pattern%20Design%20Tutorial%2C%0A%0ALove%20your%20content%21%20I%27m%20Doris%20from%20Pacdora...", "Click to Email")</f>
        <v/>
      </c>
    </row>
    <row r="24">
      <c r="A24" t="inlineStr">
        <is>
          <t>Design Tutorial</t>
        </is>
      </c>
      <c r="B24" t="n">
        <v>2630</v>
      </c>
      <c r="C24" t="inlineStr">
        <is>
          <t>2026-01-13</t>
        </is>
      </c>
      <c r="D24" t="inlineStr"/>
      <c r="E24" t="inlineStr">
        <is>
          <t>https://youtube.com/channel/UC1ZEe2qaVzv_8TKxjdmsh1A</t>
        </is>
      </c>
      <c r="F24">
        <f>HYPERLINK("mailto:?subject=Collab%20Proposal%3A%20AI%203D%20Tools%20for%20your%20Audience&amp;body=Hi%20Design%20Tutorial%2C%0A%0ALove%20your%20content%21%20I%27m%20Doris%20from%20Pacdora...", "Click to Email")</f>
        <v/>
      </c>
    </row>
    <row r="25">
      <c r="A25" t="inlineStr">
        <is>
          <t>Embroidery Design Tutorial</t>
        </is>
      </c>
      <c r="B25" t="n">
        <v>6830</v>
      </c>
      <c r="C25" t="inlineStr">
        <is>
          <t>2026-02-24</t>
        </is>
      </c>
      <c r="D25" t="inlineStr">
        <is>
          <t>embdesignshop@gmail.com</t>
        </is>
      </c>
      <c r="E25" t="inlineStr">
        <is>
          <t>https://youtube.com/channel/UChiOpU7fLMbIK7xY3JdJ1kQ</t>
        </is>
      </c>
      <c r="F25">
        <f>HYPERLINK("mailto:?subject=Collab%20Proposal%3A%20AI%203D%20Tools%20for%20your%20Audience&amp;body=Hi%20Embroidery%20Design%20Tutorial%2C%0A%0ALove%20your%20content%21%20I%27m%20Doris%20from%20Pacdora...", "Click to Email")</f>
        <v/>
      </c>
    </row>
    <row r="26">
      <c r="A26" t="inlineStr">
        <is>
          <t>EDTB: Embroidery design tutorial in Bangla</t>
        </is>
      </c>
      <c r="B26" t="n">
        <v>1880</v>
      </c>
      <c r="C26" t="inlineStr">
        <is>
          <t>2026-01-21</t>
        </is>
      </c>
      <c r="D26" t="inlineStr"/>
      <c r="E26" t="inlineStr">
        <is>
          <t>https://youtube.com/channel/UCcqWCKD6M7SXyid7raA3pRQ</t>
        </is>
      </c>
      <c r="F26">
        <f>HYPERLINK("mailto:?subject=Collab%20Proposal%3A%20AI%203D%20Tools%20for%20your%20Audience&amp;body=Hi%20EDTB%3A%20Embroidery%20design%20tutorial%20in%20Bangla%2C%0A%0ALove%20your%20content%21%20I%27m%20Doris%20from%20Pacdora...", "Click to Email")</f>
        <v/>
      </c>
    </row>
    <row r="27">
      <c r="A27" t="inlineStr">
        <is>
          <t>Design MK Cad Tutorial</t>
        </is>
      </c>
      <c r="B27" t="n">
        <v>6720</v>
      </c>
      <c r="C27" t="inlineStr">
        <is>
          <t>2026-02-24</t>
        </is>
      </c>
      <c r="D27" t="inlineStr"/>
      <c r="E27" t="inlineStr">
        <is>
          <t>https://youtube.com/channel/UCtZ6zaNhrXHq84SAiZ0WSVQ</t>
        </is>
      </c>
      <c r="F27">
        <f>HYPERLINK("mailto:?subject=Collab%20Proposal%3A%20AI%203D%20Tools%20for%20your%20Audience&amp;body=Hi%20Design%20MK%20Cad%20Tutorial%2C%0A%0ALove%20your%20content%21%20I%27m%20Doris%20from%20Pacdora...", "Click to Email")</f>
        <v/>
      </c>
    </row>
    <row r="28">
      <c r="A28" t="inlineStr">
        <is>
          <t>morpholio</t>
        </is>
      </c>
      <c r="B28" t="n">
        <v>51400</v>
      </c>
      <c r="C28" t="inlineStr">
        <is>
          <t>2025-12-08</t>
        </is>
      </c>
      <c r="D28" t="inlineStr"/>
      <c r="E28" t="inlineStr">
        <is>
          <t>https://youtube.com/channel/UCdAskYSrU8LRSOFLwZHC-WA</t>
        </is>
      </c>
      <c r="F28">
        <f>HYPERLINK("mailto:?subject=Collab%20Proposal%3A%20AI%203D%20Tools%20for%20your%20Audience&amp;body=Hi%20morpholio%2C%0A%0ALove%20your%20content%21%20I%27m%20Doris%20from%20Pacdora...", "Click to Email")</f>
        <v/>
      </c>
    </row>
    <row r="29">
      <c r="A29" t="inlineStr">
        <is>
          <t>design near me</t>
        </is>
      </c>
      <c r="B29" t="n">
        <v>7100</v>
      </c>
      <c r="C29" t="inlineStr">
        <is>
          <t>2026-02-22</t>
        </is>
      </c>
      <c r="D29" t="inlineStr"/>
      <c r="E29" t="inlineStr">
        <is>
          <t>https://youtube.com/channel/UCJi60EGvDwL0LuDEE27mNaA</t>
        </is>
      </c>
      <c r="F29">
        <f>HYPERLINK("mailto:?subject=Collab%20Proposal%3A%20AI%203D%20Tools%20for%20your%20Audience&amp;body=Hi%20design%20near%20me%2C%0A%0ALove%20your%20content%21%20I%27m%20Doris%20from%20Pacdora...", "Click to Email")</f>
        <v/>
      </c>
    </row>
    <row r="30">
      <c r="A30" t="inlineStr">
        <is>
          <t>Level reDesign</t>
        </is>
      </c>
      <c r="B30" t="n">
        <v>23700</v>
      </c>
      <c r="C30" t="inlineStr">
        <is>
          <t>2025-12-08</t>
        </is>
      </c>
      <c r="D30" t="inlineStr"/>
      <c r="E30" t="inlineStr">
        <is>
          <t>https://youtube.com/channel/UCYK70XgdNSSOUWTB7ZyjQlA</t>
        </is>
      </c>
      <c r="F30">
        <f>HYPERLINK("mailto:?subject=Collab%20Proposal%3A%20AI%203D%20Tools%20for%20your%20Audience&amp;body=Hi%20Level%20reDesign%2C%0A%0ALove%20your%20content%21%20I%27m%20Doris%20from%20Pacdora...", "Click to Email")</f>
        <v/>
      </c>
    </row>
    <row r="31">
      <c r="A31" t="inlineStr">
        <is>
          <t>Aesthetic Redesign</t>
        </is>
      </c>
      <c r="B31" t="n">
        <v>45200</v>
      </c>
      <c r="C31" t="inlineStr">
        <is>
          <t>2026-02-16</t>
        </is>
      </c>
      <c r="D31" t="inlineStr"/>
      <c r="E31" t="inlineStr">
        <is>
          <t>https://youtube.com/channel/UCN6vLOM6hBsauEa8NfD6dkw</t>
        </is>
      </c>
      <c r="F31">
        <f>HYPERLINK("mailto:?subject=Collab%20Proposal%3A%20AI%203D%20Tools%20for%20your%20Audience&amp;body=Hi%20Aesthetic%20Redesign%2C%0A%0ALove%20your%20content%21%20I%27m%20Doris%20from%20Pacdora...", "Click to Email")</f>
        <v/>
      </c>
    </row>
    <row r="32">
      <c r="A32" t="inlineStr">
        <is>
          <t>Loves Art23</t>
        </is>
      </c>
      <c r="B32" t="n">
        <v>85100</v>
      </c>
      <c r="C32" t="inlineStr">
        <is>
          <t>2026-02-21</t>
        </is>
      </c>
      <c r="D32" t="inlineStr"/>
      <c r="E32" t="inlineStr">
        <is>
          <t>https://youtube.com/channel/UCxJI8iAt1X7HcK7lREnz-gQ</t>
        </is>
      </c>
      <c r="F32">
        <f>HYPERLINK("mailto:?subject=Collab%20Proposal%3A%20AI%203D%20Tools%20for%20your%20Audience&amp;body=Hi%20Loves%20Art23%2C%0A%0ALove%20your%20content%21%20I%27m%20Doris%20from%20Pacdora...", "Click to Email")</f>
        <v/>
      </c>
    </row>
    <row r="33">
      <c r="A33" t="inlineStr">
        <is>
          <t>life redesigned</t>
        </is>
      </c>
      <c r="B33" t="n">
        <v>39600</v>
      </c>
      <c r="C33" t="inlineStr">
        <is>
          <t>2026-02-19</t>
        </is>
      </c>
      <c r="D33" t="inlineStr">
        <is>
          <t>liferedesignedrv@gmail.com</t>
        </is>
      </c>
      <c r="E33" t="inlineStr">
        <is>
          <t>https://youtube.com/channel/UC7r7RKVZe7gsZywaszIqQnA</t>
        </is>
      </c>
      <c r="F33">
        <f>HYPERLINK("mailto:?subject=Collab%20Proposal%3A%20AI%203D%20Tools%20for%20your%20Audience&amp;body=Hi%20life%20redesigned%2C%0A%0ALove%20your%20content%21%20I%27m%20Doris%20from%20Pacdora...", "Click to Email")</f>
        <v/>
      </c>
    </row>
    <row r="34">
      <c r="A34" t="inlineStr">
        <is>
          <t>Redesigned Rose</t>
        </is>
      </c>
      <c r="B34" t="n">
        <v>45600</v>
      </c>
      <c r="C34" t="inlineStr">
        <is>
          <t>2026-02-21</t>
        </is>
      </c>
      <c r="D34" t="inlineStr"/>
      <c r="E34" t="inlineStr">
        <is>
          <t>https://youtube.com/channel/UCs91c37ddIubJ_VDXL6HFjA</t>
        </is>
      </c>
      <c r="F34">
        <f>HYPERLINK("mailto:?subject=Collab%20Proposal%3A%20AI%203D%20Tools%20for%20your%20Audience&amp;body=Hi%20Redesigned%20Rose%2C%0A%0ALove%20your%20content%21%20I%27m%20Doris%20from%20Pacdora...", "Click to Email")</f>
        <v/>
      </c>
    </row>
    <row r="35">
      <c r="A35" t="inlineStr">
        <is>
          <t>Redesign</t>
        </is>
      </c>
      <c r="B35" t="n">
        <v>1080</v>
      </c>
      <c r="C35" t="inlineStr">
        <is>
          <t>2026-02-23</t>
        </is>
      </c>
      <c r="D35" t="inlineStr"/>
      <c r="E35" t="inlineStr">
        <is>
          <t>https://youtube.com/channel/UCoIK6n_t0401xFNfBxhZzaA</t>
        </is>
      </c>
      <c r="F35">
        <f>HYPERLINK("mailto:?subject=Collab%20Proposal%3A%20AI%203D%20Tools%20for%20your%20Audience&amp;body=Hi%20Redesign%2C%0A%0ALove%20your%20content%21%20I%27m%20Doris%20from%20Pacdora...", "Click to Email")</f>
        <v/>
      </c>
    </row>
    <row r="36">
      <c r="A36" t="inlineStr">
        <is>
          <t>Why Not reDesign</t>
        </is>
      </c>
      <c r="B36" t="n">
        <v>3920</v>
      </c>
      <c r="C36" t="inlineStr">
        <is>
          <t>2025-12-06</t>
        </is>
      </c>
      <c r="D36" t="inlineStr"/>
      <c r="E36" t="inlineStr">
        <is>
          <t>https://youtube.com/channel/UCOxZuRfF8oa0rgxOujVaUSw</t>
        </is>
      </c>
      <c r="F36">
        <f>HYPERLINK("mailto:?subject=Collab%20Proposal%3A%20AI%203D%20Tools%20for%20your%20Audience&amp;body=Hi%20Why%20Not%20reDesign%2C%0A%0ALove%20your%20content%21%20I%27m%20Doris%20from%20Pacdora...", "Click to Email")</f>
        <v/>
      </c>
    </row>
    <row r="37">
      <c r="A37" t="inlineStr">
        <is>
          <t>Brainstorm &amp; Redesign</t>
        </is>
      </c>
      <c r="B37" t="n">
        <v>1350</v>
      </c>
      <c r="C37" t="inlineStr">
        <is>
          <t>2026-02-21</t>
        </is>
      </c>
      <c r="D37" t="inlineStr"/>
      <c r="E37" t="inlineStr">
        <is>
          <t>https://youtube.com/channel/UCAJO0QHOz3s80sMHwkkFasQ</t>
        </is>
      </c>
      <c r="F37">
        <f>HYPERLINK("mailto:?subject=Collab%20Proposal%3A%20AI%203D%20Tools%20for%20your%20Audience&amp;body=Hi%20Brainstorm%20%26%20Redesign%2C%0A%0ALove%20your%20content%21%20I%27m%20Doris%20from%20Pacdora...", "Click to Email")</f>
        <v/>
      </c>
    </row>
    <row r="38">
      <c r="A38" t="inlineStr">
        <is>
          <t>Research and Redesign</t>
        </is>
      </c>
      <c r="B38" t="n">
        <v>1370</v>
      </c>
      <c r="C38" t="inlineStr">
        <is>
          <t>2026-02-16</t>
        </is>
      </c>
      <c r="D38" t="inlineStr"/>
      <c r="E38" t="inlineStr">
        <is>
          <t>https://youtube.com/channel/UCF0EyLCKDIXOk3ua8hfmP9A</t>
        </is>
      </c>
      <c r="F38">
        <f>HYPERLINK("mailto:?subject=Collab%20Proposal%3A%20AI%203D%20Tools%20for%20your%20Audience&amp;body=Hi%20Research%20and%20Redesign%2C%0A%0ALove%20your%20content%21%20I%27m%20Doris%20from%20Pacdora...", "Click to Email")</f>
        <v/>
      </c>
    </row>
    <row r="39">
      <c r="A39" t="inlineStr">
        <is>
          <t>Redesigned by Rachel</t>
        </is>
      </c>
      <c r="B39" t="n">
        <v>4070</v>
      </c>
      <c r="C39" t="inlineStr">
        <is>
          <t>2026-02-21</t>
        </is>
      </c>
      <c r="D39" t="inlineStr"/>
      <c r="E39" t="inlineStr">
        <is>
          <t>https://youtube.com/channel/UC7SbHKclScYHH9YHMbPA4hA</t>
        </is>
      </c>
      <c r="F39">
        <f>HYPERLINK("mailto:?subject=Collab%20Proposal%3A%20AI%203D%20Tools%20for%20your%20Audience&amp;body=Hi%20Redesigned%20by%20Rachel%2C%0A%0ALove%20your%20content%21%20I%27m%20Doris%20from%20Pacdora...", "Click to Email")</f>
        <v/>
      </c>
    </row>
    <row r="40">
      <c r="A40" t="inlineStr">
        <is>
          <t>Parked Redesign</t>
        </is>
      </c>
      <c r="B40" t="n">
        <v>1390</v>
      </c>
      <c r="C40" t="inlineStr">
        <is>
          <t>2025-12-04</t>
        </is>
      </c>
      <c r="D40" t="inlineStr"/>
      <c r="E40" t="inlineStr">
        <is>
          <t>https://youtube.com/channel/UCic_iVJl9ZVgoLXXYm8l1eg</t>
        </is>
      </c>
      <c r="F40">
        <f>HYPERLINK("mailto:?subject=Collab%20Proposal%3A%20AI%203D%20Tools%20for%20your%20Audience&amp;body=Hi%20Parked%20Redesign%2C%0A%0ALove%20your%20content%21%20I%27m%20Doris%20from%20Pacdora...", "Click to Email")</f>
        <v/>
      </c>
    </row>
    <row r="41">
      <c r="A41" t="inlineStr">
        <is>
          <t>The Redesign Habit</t>
        </is>
      </c>
      <c r="B41" t="n">
        <v>5110</v>
      </c>
      <c r="C41" t="inlineStr">
        <is>
          <t>2026-02-18</t>
        </is>
      </c>
      <c r="D41" t="inlineStr"/>
      <c r="E41" t="inlineStr">
        <is>
          <t>https://youtube.com/channel/UCzZ4V8IJQXJB5w_ySZYE0-Q</t>
        </is>
      </c>
      <c r="F41">
        <f>HYPERLINK("mailto:?subject=Collab%20Proposal%3A%20AI%203D%20Tools%20for%20your%20Audience&amp;body=Hi%20The%20Redesign%20Habit%2C%0A%0ALove%20your%20content%21%20I%27m%20Doris%20from%20Pacdora...", "Click to Email")</f>
        <v/>
      </c>
    </row>
    <row r="42">
      <c r="A42" t="inlineStr">
        <is>
          <t>Archi Hacks</t>
        </is>
      </c>
      <c r="B42" t="n">
        <v>99500</v>
      </c>
      <c r="C42" t="inlineStr">
        <is>
          <t>2026-02-22</t>
        </is>
      </c>
      <c r="D42" t="inlineStr"/>
      <c r="E42" t="inlineStr">
        <is>
          <t>https://youtube.com/channel/UCNfL0P1MAXpM8pQEM9jqZAw</t>
        </is>
      </c>
      <c r="F42">
        <f>HYPERLINK("mailto:?subject=Collab%20Proposal%3A%20AI%203D%20Tools%20for%20your%20Audience&amp;body=Hi%20Archi%20Hacks%2C%0A%0ALove%20your%20content%21%20I%27m%20Doris%20from%20Pacdora...", "Click to Email")</f>
        <v/>
      </c>
    </row>
    <row r="43">
      <c r="A43" t="inlineStr">
        <is>
          <t>Learn UI Design</t>
        </is>
      </c>
      <c r="B43" t="n">
        <v>10200</v>
      </c>
      <c r="C43" t="inlineStr">
        <is>
          <t>2026-02-01</t>
        </is>
      </c>
      <c r="D43" t="inlineStr"/>
      <c r="E43" t="inlineStr">
        <is>
          <t>https://youtube.com/channel/UCakPr8lc7Zcowd8Cp2Uy_Eg</t>
        </is>
      </c>
      <c r="F43">
        <f>HYPERLINK("mailto:?subject=Collab%20Proposal%3A%20AI%203D%20Tools%20for%20your%20Audience&amp;body=Hi%20Learn%20UI%20Design%2C%0A%0ALove%20your%20content%21%20I%27m%20Doris%20from%20Pacdora...", "Click to Email")</f>
        <v/>
      </c>
    </row>
    <row r="44">
      <c r="A44" t="inlineStr">
        <is>
          <t>Art Design with Canva</t>
        </is>
      </c>
      <c r="B44" t="n">
        <v>55100</v>
      </c>
      <c r="C44" t="inlineStr">
        <is>
          <t>2026-02-23</t>
        </is>
      </c>
      <c r="D44" t="inlineStr"/>
      <c r="E44" t="inlineStr">
        <is>
          <t>https://youtube.com/channel/UCq08X4uDeh_yy5QFtHr0Ofw</t>
        </is>
      </c>
      <c r="F44">
        <f>HYPERLINK("mailto:?subject=Collab%20Proposal%3A%20AI%203D%20Tools%20for%20your%20Audience&amp;body=Hi%20Art%20Design%20with%20Canva%2C%0A%0ALove%20your%20content%21%20I%27m%20Doris%20from%20Pacdora...", "Click to Email")</f>
        <v/>
      </c>
    </row>
    <row r="45">
      <c r="A45" t="inlineStr">
        <is>
          <t>How to design</t>
        </is>
      </c>
      <c r="B45" t="n">
        <v>3070</v>
      </c>
      <c r="C45" t="inlineStr">
        <is>
          <t>2025-12-30</t>
        </is>
      </c>
      <c r="D45" t="inlineStr"/>
      <c r="E45" t="inlineStr">
        <is>
          <t>https://youtube.com/channel/UC9j0a_lW2_qwpEq1BLolBrQ</t>
        </is>
      </c>
      <c r="F45">
        <f>HYPERLINK("mailto:?subject=Collab%20Proposal%3A%20AI%203D%20Tools%20for%20your%20Audience&amp;body=Hi%20How%20to%20design%2C%0A%0ALove%20your%20content%21%20I%27m%20Doris%20from%20Pacdora...", "Click to Email")</f>
        <v/>
      </c>
    </row>
    <row r="46">
      <c r="A46" t="inlineStr">
        <is>
          <t>Home Decor Inspiration</t>
        </is>
      </c>
      <c r="B46" t="n">
        <v>19800</v>
      </c>
      <c r="C46" t="inlineStr">
        <is>
          <t>2026-02-22</t>
        </is>
      </c>
      <c r="D46" t="inlineStr"/>
      <c r="E46" t="inlineStr">
        <is>
          <t>https://youtube.com/channel/UC2CiMYMIouVNvZqn1p6ysSA</t>
        </is>
      </c>
      <c r="F46">
        <f>HYPERLINK("mailto:?subject=Collab%20Proposal%3A%20AI%203D%20Tools%20for%20your%20Audience&amp;body=Hi%20Home%20Decor%20Inspiration%2C%0A%0ALove%20your%20content%21%20I%27m%20Doris%20from%20Pacdora...", "Click to Email")</f>
        <v/>
      </c>
    </row>
    <row r="47">
      <c r="A47" t="inlineStr">
        <is>
          <t>Design by Sew &amp; Sew Knitting Podcast</t>
        </is>
      </c>
      <c r="B47" t="n">
        <v>1520</v>
      </c>
      <c r="C47" t="inlineStr">
        <is>
          <t>2026-02-22</t>
        </is>
      </c>
      <c r="D47" t="inlineStr"/>
      <c r="E47" t="inlineStr">
        <is>
          <t>https://youtube.com/channel/UCGoQkGo4Br52Yxk4U-i6Exw</t>
        </is>
      </c>
      <c r="F47">
        <f>HYPERLINK("mailto:?subject=Collab%20Proposal%3A%20AI%203D%20Tools%20for%20your%20Audience&amp;body=Hi%20Design%20by%20Sew%20%26%20Sew%20Knitting%20Podcast%2C%0A%0ALove%20your%20content%21%20I%27m%20Doris%20from%20Pacdora...", "Click to Email")</f>
        <v/>
      </c>
    </row>
    <row r="48">
      <c r="A48" t="inlineStr">
        <is>
          <t>World Arch Inspo</t>
        </is>
      </c>
      <c r="B48" t="n">
        <v>1170</v>
      </c>
      <c r="C48" t="inlineStr">
        <is>
          <t>2026-02-23</t>
        </is>
      </c>
      <c r="D48" t="inlineStr"/>
      <c r="E48" t="inlineStr">
        <is>
          <t>https://youtube.com/channel/UC9UX1yuDw0rZf_NtY5eD92w</t>
        </is>
      </c>
      <c r="F48">
        <f>HYPERLINK("mailto:?subject=Collab%20Proposal%3A%20AI%203D%20Tools%20for%20your%20Audience&amp;body=Hi%20World%20Arch%20Inspo%2C%0A%0ALove%20your%20content%21%20I%27m%20Doris%20from%20Pacdora...", "Click to Email")</f>
        <v/>
      </c>
    </row>
    <row r="49">
      <c r="A49" t="inlineStr">
        <is>
          <t>House Inspo</t>
        </is>
      </c>
      <c r="B49" t="n">
        <v>1040</v>
      </c>
      <c r="C49" t="inlineStr">
        <is>
          <t>2026-02-23</t>
        </is>
      </c>
      <c r="D49" t="inlineStr"/>
      <c r="E49" t="inlineStr">
        <is>
          <t>https://youtube.com/channel/UCanR5vGigFJC_8-xLcxiACQ</t>
        </is>
      </c>
      <c r="F49">
        <f>HYPERLINK("mailto:?subject=Collab%20Proposal%3A%20AI%203D%20Tools%20for%20your%20Audience&amp;body=Hi%20House%20Inspo%2C%0A%0ALove%20your%20content%21%20I%27m%20Doris%20from%20Pacdora...", "Click to Email")</f>
        <v/>
      </c>
    </row>
    <row r="50">
      <c r="A50" t="inlineStr">
        <is>
          <t>Opulux Designs</t>
        </is>
      </c>
      <c r="B50" t="n">
        <v>4070</v>
      </c>
      <c r="C50" t="inlineStr">
        <is>
          <t>2026-01-21</t>
        </is>
      </c>
      <c r="D50" t="inlineStr"/>
      <c r="E50" t="inlineStr">
        <is>
          <t>https://youtube.com/channel/UCujXlWlD48VrCCsi-pKDtKA</t>
        </is>
      </c>
      <c r="F50">
        <f>HYPERLINK("mailto:?subject=Collab%20Proposal%3A%20AI%203D%20Tools%20for%20your%20Audience&amp;body=Hi%20Opulux%20Designs%2C%0A%0ALove%20your%20content%21%20I%27m%20Doris%20from%20Pacdora...", "Click to Email")</f>
        <v/>
      </c>
    </row>
    <row r="51">
      <c r="A51" t="inlineStr">
        <is>
          <t>My Designs in the Chaos</t>
        </is>
      </c>
      <c r="B51" t="n">
        <v>3840</v>
      </c>
      <c r="C51" t="inlineStr">
        <is>
          <t>2026-02-20</t>
        </is>
      </c>
      <c r="D51" t="inlineStr"/>
      <c r="E51" t="inlineStr">
        <is>
          <t>https://youtube.com/channel/UC5xcCC_mpk6VXhncu1fxsUA</t>
        </is>
      </c>
      <c r="F51">
        <f>HYPERLINK("mailto:?subject=Collab%20Proposal%3A%20AI%203D%20Tools%20for%20your%20Audience&amp;body=Hi%20My%20Designs%20in%20the%20Chaos%2C%0A%0ALove%20your%20content%21%20I%27m%20Doris%20from%20Pacdora...", "Click to Email")</f>
        <v/>
      </c>
    </row>
    <row r="52">
      <c r="A52" t="inlineStr">
        <is>
          <t>KLSY Interior Design</t>
        </is>
      </c>
      <c r="B52" t="n">
        <v>3430</v>
      </c>
      <c r="C52" t="inlineStr">
        <is>
          <t>2026-02-22</t>
        </is>
      </c>
      <c r="D52" t="inlineStr"/>
      <c r="E52" t="inlineStr">
        <is>
          <t>https://youtube.com/channel/UC3reNoNEznVAkr7Pgr5-8Ug</t>
        </is>
      </c>
      <c r="F52">
        <f>HYPERLINK("mailto:?subject=Collab%20Proposal%3A%20AI%203D%20Tools%20for%20your%20Audience&amp;body=Hi%20KLSY%20Interior%20Design%2C%0A%0ALove%20your%20content%21%20I%27m%20Doris%20from%20Pacdora...", "Click to Email")</f>
        <v/>
      </c>
    </row>
    <row r="53">
      <c r="A53" t="inlineStr">
        <is>
          <t>Barron Designs</t>
        </is>
      </c>
      <c r="B53" t="n">
        <v>14500</v>
      </c>
      <c r="C53" t="inlineStr">
        <is>
          <t>2026-02-17</t>
        </is>
      </c>
      <c r="D53" t="inlineStr">
        <is>
          <t>info@barrondesigns.com</t>
        </is>
      </c>
      <c r="E53" t="inlineStr">
        <is>
          <t>https://youtube.com/channel/UCb0ZPIXFrgz5ou5kDHImX2A</t>
        </is>
      </c>
      <c r="F53">
        <f>HYPERLINK("mailto:?subject=Collab%20Proposal%3A%20AI%203D%20Tools%20for%20your%20Audience&amp;body=Hi%20Barron%20Designs%2C%0A%0ALove%20your%20content%21%20I%27m%20Doris%20from%20Pacdora...", "Click to Email")</f>
        <v/>
      </c>
    </row>
    <row r="54">
      <c r="A54" t="inlineStr">
        <is>
          <t>GJ Home Designs</t>
        </is>
      </c>
      <c r="B54" t="n">
        <v>81400</v>
      </c>
      <c r="C54" t="inlineStr">
        <is>
          <t>2026-02-18</t>
        </is>
      </c>
      <c r="D54" t="inlineStr"/>
      <c r="E54" t="inlineStr">
        <is>
          <t>https://youtube.com/channel/UCHcGGdaMqyzFvmtRxT3xTXw</t>
        </is>
      </c>
      <c r="F54">
        <f>HYPERLINK("mailto:?subject=Collab%20Proposal%3A%20AI%203D%20Tools%20for%20your%20Audience&amp;body=Hi%20GJ%20Home%20Designs%2C%0A%0ALove%20your%20content%21%20I%27m%20Doris%20from%20Pacdora...", "Click to Email")</f>
        <v/>
      </c>
    </row>
    <row r="55">
      <c r="A55" t="inlineStr">
        <is>
          <t>Brittany | Nail Inspo</t>
        </is>
      </c>
      <c r="B55" t="n">
        <v>25100</v>
      </c>
      <c r="C55" t="inlineStr">
        <is>
          <t>2026-02-13</t>
        </is>
      </c>
      <c r="D55" t="inlineStr"/>
      <c r="E55" t="inlineStr">
        <is>
          <t>https://youtube.com/channel/UC7zXwb4Zzrg4Po8FWrd6P2Q</t>
        </is>
      </c>
      <c r="F55">
        <f>HYPERLINK("mailto:?subject=Collab%20Proposal%3A%20AI%203D%20Tools%20for%20your%20Audience&amp;body=Hi%20Brittany%20%7C%20Nail%20Inspo%2C%0A%0ALove%20your%20content%21%20I%27m%20Doris%20from%20Pacdora...", "Click to Email")</f>
        <v/>
      </c>
    </row>
    <row r="56">
      <c r="A56" t="inlineStr">
        <is>
          <t>BitBranding</t>
        </is>
      </c>
      <c r="B56" t="n">
        <v>51700</v>
      </c>
      <c r="C56" t="inlineStr">
        <is>
          <t>2026-02-19</t>
        </is>
      </c>
      <c r="D56" t="inlineStr"/>
      <c r="E56" t="inlineStr">
        <is>
          <t>https://youtube.com/channel/UCIGF9KJWwNznHcW1nf2V9rQ</t>
        </is>
      </c>
      <c r="F56">
        <f>HYPERLINK("mailto:?subject=Collab%20Proposal%3A%20AI%203D%20Tools%20for%20your%20Audience&amp;body=Hi%20BitBranding%2C%0A%0ALove%20your%20content%21%20I%27m%20Doris%20from%20Pacdora...", "Click to Email")</f>
        <v/>
      </c>
    </row>
    <row r="57">
      <c r="A57" t="inlineStr">
        <is>
          <t>The Art Of The Brand</t>
        </is>
      </c>
      <c r="B57" t="n">
        <v>8620</v>
      </c>
      <c r="C57" t="inlineStr">
        <is>
          <t>2026-02-23</t>
        </is>
      </c>
      <c r="D57" t="inlineStr"/>
      <c r="E57" t="inlineStr">
        <is>
          <t>https://youtube.com/channel/UCbm1S4BPUGAadX-K4JWlFLQ</t>
        </is>
      </c>
      <c r="F57">
        <f>HYPERLINK("mailto:?subject=Collab%20Proposal%3A%20AI%203D%20Tools%20for%20your%20Audience&amp;body=Hi%20The%20Art%20Of%20The%20Brand%2C%0A%0ALove%20your%20content%21%20I%27m%20Doris%20from%20Pacdora...", "Click to Email")</f>
        <v/>
      </c>
    </row>
    <row r="58">
      <c r="A58" t="inlineStr">
        <is>
          <t>amp sound branding</t>
        </is>
      </c>
      <c r="B58" t="n">
        <v>21400</v>
      </c>
      <c r="C58" t="inlineStr">
        <is>
          <t>2026-02-05</t>
        </is>
      </c>
      <c r="D58" t="inlineStr"/>
      <c r="E58" t="inlineStr">
        <is>
          <t>https://youtube.com/channel/UC5cAjeGkA6sw67NNC7l-Zfw</t>
        </is>
      </c>
      <c r="F58">
        <f>HYPERLINK("mailto:?subject=Collab%20Proposal%3A%20AI%203D%20Tools%20for%20your%20Audience&amp;body=Hi%20amp%20sound%20branding%2C%0A%0ALove%20your%20content%21%20I%27m%20Doris%20from%20Pacdora...", "Click to Email")</f>
        <v/>
      </c>
    </row>
    <row r="59">
      <c r="A59" t="inlineStr">
        <is>
          <t>The Brand Review by Hyperfocus</t>
        </is>
      </c>
      <c r="B59" t="n">
        <v>6470</v>
      </c>
      <c r="C59" t="inlineStr">
        <is>
          <t>2026-01-20</t>
        </is>
      </c>
      <c r="D59" t="inlineStr"/>
      <c r="E59" t="inlineStr">
        <is>
          <t>https://youtube.com/channel/UCVCaGQPxLOPpC65H5Mp97yg</t>
        </is>
      </c>
      <c r="F59">
        <f>HYPERLINK("mailto:?subject=Collab%20Proposal%3A%20AI%203D%20Tools%20for%20your%20Audience&amp;body=Hi%20The%20Brand%20Review%20by%20Hyperfocus%2C%0A%0ALove%20your%20content%21%20I%27m%20Doris%20from%20Pacdora...", "Click to Email")</f>
        <v/>
      </c>
    </row>
    <row r="60">
      <c r="A60" t="inlineStr">
        <is>
          <t>Brand Inteligente</t>
        </is>
      </c>
      <c r="B60" t="n">
        <v>50300</v>
      </c>
      <c r="C60" t="inlineStr">
        <is>
          <t>2025-12-17</t>
        </is>
      </c>
      <c r="D60" t="inlineStr"/>
      <c r="E60" t="inlineStr">
        <is>
          <t>https://youtube.com/channel/UCA4ltp6OlWfSWZk8NnIS4dg</t>
        </is>
      </c>
      <c r="F60">
        <f>HYPERLINK("mailto:?subject=Collab%20Proposal%3A%20AI%203D%20Tools%20for%20your%20Audience&amp;body=Hi%20Brand%20Inteligente%2C%0A%0ALove%20your%20content%21%20I%27m%20Doris%20from%20Pacdora...", "Click to Email")</f>
        <v/>
      </c>
    </row>
    <row r="61">
      <c r="A61" t="inlineStr">
        <is>
          <t>Kayla</t>
        </is>
      </c>
      <c r="B61" t="n">
        <v>37900</v>
      </c>
      <c r="C61" t="inlineStr">
        <is>
          <t>2026-02-19</t>
        </is>
      </c>
      <c r="D61" t="inlineStr"/>
      <c r="E61" t="inlineStr">
        <is>
          <t>https://youtube.com/channel/UCOxSHMpKGysxp99QAthEAAw</t>
        </is>
      </c>
      <c r="F61">
        <f>HYPERLINK("mailto:?subject=Collab%20Proposal%3A%20AI%203D%20Tools%20for%20your%20Audience&amp;body=Hi%20Kayla%2C%0A%0ALove%20your%20content%21%20I%27m%20Doris%20from%20Pacdora...", "Click to Email")</f>
        <v/>
      </c>
    </row>
    <row r="62">
      <c r="A62" t="inlineStr">
        <is>
          <t>Pearstec Branding</t>
        </is>
      </c>
      <c r="B62" t="n">
        <v>24200</v>
      </c>
      <c r="C62" t="inlineStr">
        <is>
          <t>2026-01-30</t>
        </is>
      </c>
      <c r="D62" t="inlineStr"/>
      <c r="E62" t="inlineStr">
        <is>
          <t>https://youtube.com/channel/UCTLUq3naNHA9LDxBaA52ZPQ</t>
        </is>
      </c>
      <c r="F62">
        <f>HYPERLINK("mailto:?subject=Collab%20Proposal%3A%20AI%203D%20Tools%20for%20your%20Audience&amp;body=Hi%20Pearstec%20Branding%2C%0A%0ALove%20your%20content%21%20I%27m%20Doris%20from%20Pacdora...", "Click to Email")</f>
        <v/>
      </c>
    </row>
    <row r="63">
      <c r="A63" t="inlineStr">
        <is>
          <t>Anchor Brand Ranch</t>
        </is>
      </c>
      <c r="B63" t="n">
        <v>70900</v>
      </c>
      <c r="C63" t="inlineStr">
        <is>
          <t>2026-02-03</t>
        </is>
      </c>
      <c r="D63" t="inlineStr">
        <is>
          <t>anchorbrandranch@gmail.com</t>
        </is>
      </c>
      <c r="E63" t="inlineStr">
        <is>
          <t>https://youtube.com/channel/UCihkDCdWYbw_VXqReFL4a-A</t>
        </is>
      </c>
      <c r="F63">
        <f>HYPERLINK("mailto:?subject=Collab%20Proposal%3A%20AI%203D%20Tools%20for%20your%20Audience&amp;body=Hi%20Anchor%20Brand%20Ranch%2C%0A%0ALove%20your%20content%21%20I%27m%20Doris%20from%20Pacdora...", "Click to Email")</f>
        <v/>
      </c>
    </row>
    <row r="64">
      <c r="A64" t="inlineStr">
        <is>
          <t>Branding em Tudo Podcast</t>
        </is>
      </c>
      <c r="B64" t="n">
        <v>11900</v>
      </c>
      <c r="C64" t="inlineStr">
        <is>
          <t>2026-02-10</t>
        </is>
      </c>
      <c r="D64" t="inlineStr"/>
      <c r="E64" t="inlineStr">
        <is>
          <t>https://youtube.com/channel/UCbiitLMjYSNgcZuNHQ_l7Kg</t>
        </is>
      </c>
      <c r="F64">
        <f>HYPERLINK("mailto:?subject=Collab%20Proposal%3A%20AI%203D%20Tools%20for%20your%20Audience&amp;body=Hi%20Branding%20em%20Tudo%20Podcast%2C%0A%0ALove%20your%20content%21%20I%27m%20Doris%20from%20Pacdora...", "Click to Email")</f>
        <v/>
      </c>
    </row>
    <row r="65">
      <c r="A65" t="inlineStr">
        <is>
          <t>Focus on Brand</t>
        </is>
      </c>
      <c r="B65" t="n">
        <v>3550</v>
      </c>
      <c r="C65" t="inlineStr">
        <is>
          <t>2026-02-05</t>
        </is>
      </c>
      <c r="D65" t="inlineStr"/>
      <c r="E65" t="inlineStr">
        <is>
          <t>https://youtube.com/channel/UCImu3ju_-yj_4kZTa-9qP6g</t>
        </is>
      </c>
      <c r="F65">
        <f>HYPERLINK("mailto:?subject=Collab%20Proposal%3A%20AI%203D%20Tools%20for%20your%20Audience&amp;body=Hi%20Focus%20on%20Brand%2C%0A%0ALove%20your%20content%21%20I%27m%20Doris%20from%20Pacdora...", "Click to Email")</f>
        <v/>
      </c>
    </row>
    <row r="66">
      <c r="A66" t="inlineStr">
        <is>
          <t>Elements Brand Management</t>
        </is>
      </c>
      <c r="B66" t="n">
        <v>5690</v>
      </c>
      <c r="C66" t="inlineStr">
        <is>
          <t>2026-02-19</t>
        </is>
      </c>
      <c r="D66" t="inlineStr"/>
      <c r="E66" t="inlineStr">
        <is>
          <t>https://youtube.com/channel/UCB1DttwtvyIL5wOAewMSeRw</t>
        </is>
      </c>
      <c r="F66">
        <f>HYPERLINK("mailto:?subject=Collab%20Proposal%3A%20AI%203D%20Tools%20for%20your%20Audience&amp;body=Hi%20Elements%20Brand%20Management%2C%0A%0ALove%20your%20content%21%20I%27m%20Doris%20from%20Pacdora...", "Click to Email")</f>
        <v/>
      </c>
    </row>
    <row r="67">
      <c r="A67" t="inlineStr">
        <is>
          <t>Elijah Delporte</t>
        </is>
      </c>
      <c r="B67" t="n">
        <v>14000</v>
      </c>
      <c r="C67" t="inlineStr">
        <is>
          <t>2026-02-07</t>
        </is>
      </c>
      <c r="D67" t="inlineStr"/>
      <c r="E67" t="inlineStr">
        <is>
          <t>https://youtube.com/channel/UC7znbCgDtAItmgmKJN04SMA</t>
        </is>
      </c>
      <c r="F67">
        <f>HYPERLINK("mailto:?subject=Collab%20Proposal%3A%20AI%203D%20Tools%20for%20your%20Audience&amp;body=Hi%20Elijah%20Delporte%2C%0A%0ALove%20your%20content%21%20I%27m%20Doris%20from%20Pacdora...", "Click to Email")</f>
        <v/>
      </c>
    </row>
    <row r="68">
      <c r="A68" t="inlineStr">
        <is>
          <t>Personal Branding TV</t>
        </is>
      </c>
      <c r="B68" t="n">
        <v>2420</v>
      </c>
      <c r="C68" t="inlineStr">
        <is>
          <t>2026-02-16</t>
        </is>
      </c>
      <c r="D68" t="inlineStr"/>
      <c r="E68" t="inlineStr">
        <is>
          <t>https://youtube.com/channel/UC1CqnZ-ARUdNu5bRrvud43w</t>
        </is>
      </c>
      <c r="F68">
        <f>HYPERLINK("mailto:?subject=Collab%20Proposal%3A%20AI%203D%20Tools%20for%20your%20Audience&amp;body=Hi%20Personal%20Branding%20TV%2C%0A%0ALove%20your%20content%21%20I%27m%20Doris%20from%20Pacdora...", "Click to Email")</f>
        <v/>
      </c>
    </row>
    <row r="69">
      <c r="A69" t="inlineStr">
        <is>
          <t>Latin Branding</t>
        </is>
      </c>
      <c r="B69" t="n">
        <v>3180</v>
      </c>
      <c r="C69" t="inlineStr">
        <is>
          <t>2026-01-09</t>
        </is>
      </c>
      <c r="D69" t="inlineStr"/>
      <c r="E69" t="inlineStr">
        <is>
          <t>https://youtube.com/channel/UCnhbiNiMvnWPx3-9JnL_zyw</t>
        </is>
      </c>
      <c r="F69">
        <f>HYPERLINK("mailto:?subject=Collab%20Proposal%3A%20AI%203D%20Tools%20for%20your%20Audience&amp;body=Hi%20Latin%20Branding%2C%0A%0ALove%20your%20content%21%20I%27m%20Doris%20from%20Pacdora...", "Click to Email")</f>
        <v/>
      </c>
    </row>
    <row r="70">
      <c r="A70" t="inlineStr">
        <is>
          <t>The Brand Story TV</t>
        </is>
      </c>
      <c r="B70" t="n">
        <v>19800</v>
      </c>
      <c r="C70" t="inlineStr">
        <is>
          <t>2026-01-24</t>
        </is>
      </c>
      <c r="D70" t="inlineStr"/>
      <c r="E70" t="inlineStr">
        <is>
          <t>https://youtube.com/channel/UCvmX6iZ8uH13w2J9sWaZQxQ</t>
        </is>
      </c>
      <c r="F70">
        <f>HYPERLINK("mailto:?subject=Collab%20Proposal%3A%20AI%203D%20Tools%20for%20your%20Audience&amp;body=Hi%20The%20Brand%20Story%20TV%2C%0A%0ALove%20your%20content%21%20I%27m%20Doris%20from%20Pacdora...", "Click to Email")</f>
        <v/>
      </c>
    </row>
    <row r="71">
      <c r="A71" t="inlineStr">
        <is>
          <t>Brand Hong Kong</t>
        </is>
      </c>
      <c r="B71" t="n">
        <v>6800</v>
      </c>
      <c r="C71" t="inlineStr">
        <is>
          <t>2026-02-16</t>
        </is>
      </c>
      <c r="D71" t="inlineStr"/>
      <c r="E71" t="inlineStr">
        <is>
          <t>https://youtube.com/channel/UC2vTGiAas14m6KrbsO8k3zA</t>
        </is>
      </c>
      <c r="F71">
        <f>HYPERLINK("mailto:?subject=Collab%20Proposal%3A%20AI%203D%20Tools%20for%20your%20Audience&amp;body=Hi%20Brand%20Hong%20Kong%2C%0A%0ALove%20your%20content%21%20I%27m%20Doris%20from%20Pacdora...", "Click to Email")</f>
        <v/>
      </c>
    </row>
    <row r="72">
      <c r="A72" t="inlineStr">
        <is>
          <t>Readymag</t>
        </is>
      </c>
      <c r="B72" t="n">
        <v>23300</v>
      </c>
      <c r="C72" t="inlineStr">
        <is>
          <t>2026-02-20</t>
        </is>
      </c>
      <c r="D72" t="inlineStr"/>
      <c r="E72" t="inlineStr">
        <is>
          <t>https://youtube.com/channel/UCz3Ylsb-JuM76cS1nsfyCLw</t>
        </is>
      </c>
      <c r="F72">
        <f>HYPERLINK("mailto:?subject=Collab%20Proposal%3A%20AI%203D%20Tools%20for%20your%20Audience&amp;body=Hi%20Readymag%2C%0A%0ALove%20your%20content%21%20I%27m%20Doris%20from%20Pacdora...", "Click to Email")</f>
        <v/>
      </c>
    </row>
    <row r="73">
      <c r="A73" t="inlineStr">
        <is>
          <t>LOWREADY MAGAZINE</t>
        </is>
      </c>
      <c r="B73" t="n">
        <v>42200</v>
      </c>
      <c r="C73" t="inlineStr">
        <is>
          <t>2026-01-27</t>
        </is>
      </c>
      <c r="D73" t="inlineStr">
        <is>
          <t>info@lowreadygroup.com</t>
        </is>
      </c>
      <c r="E73" t="inlineStr">
        <is>
          <t>https://youtube.com/channel/UC-6iIgxMktxyxkdHqTdEZbQ</t>
        </is>
      </c>
      <c r="F73">
        <f>HYPERLINK("mailto:?subject=Collab%20Proposal%3A%20AI%203D%20Tools%20for%20your%20Audience&amp;body=Hi%20LOWREADY%20MAGAZINE%2C%0A%0ALove%20your%20content%21%20I%27m%20Doris%20from%20Pacdora...", "Click to Email")</f>
        <v/>
      </c>
    </row>
    <row r="74">
      <c r="A74" t="inlineStr">
        <is>
          <t>youthrunnermag</t>
        </is>
      </c>
      <c r="B74" t="n">
        <v>1780</v>
      </c>
      <c r="C74" t="inlineStr">
        <is>
          <t>2026-02-05</t>
        </is>
      </c>
      <c r="D74" t="inlineStr"/>
      <c r="E74" t="inlineStr">
        <is>
          <t>https://youtube.com/channel/UCt3sgiLVhGGzbLCrfu1y0Ng</t>
        </is>
      </c>
      <c r="F74">
        <f>HYPERLINK("mailto:?subject=Collab%20Proposal%3A%20AI%203D%20Tools%20for%20your%20Audience&amp;body=Hi%20youthrunnermag%2C%0A%0ALove%20your%20content%21%20I%27m%20Doris%20from%20Pacdora...", "Click to Email")</f>
        <v/>
      </c>
    </row>
    <row r="75">
      <c r="A75" t="inlineStr">
        <is>
          <t>Kittle Things</t>
        </is>
      </c>
      <c r="B75" t="n">
        <v>62500</v>
      </c>
      <c r="C75" t="inlineStr">
        <is>
          <t>2026-02-20</t>
        </is>
      </c>
      <c r="D75" t="inlineStr"/>
      <c r="E75" t="inlineStr">
        <is>
          <t>https://youtube.com/channel/UCmfgBoafyhLKwvQTy3vp2IQ</t>
        </is>
      </c>
      <c r="F75">
        <f>HYPERLINK("mailto:?subject=Collab%20Proposal%3A%20AI%203D%20Tools%20for%20your%20Audience&amp;body=Hi%20Kittle%20Things%2C%0A%0ALove%20your%20content%21%20I%27m%20Doris%20from%20Pacdora...", "Click to Email")</f>
        <v/>
      </c>
    </row>
    <row r="76">
      <c r="A76" t="inlineStr">
        <is>
          <t>Kitty Cotten</t>
        </is>
      </c>
      <c r="B76" t="n">
        <v>82900</v>
      </c>
      <c r="C76" t="inlineStr">
        <is>
          <t>2026-02-09</t>
        </is>
      </c>
      <c r="D76" t="inlineStr"/>
      <c r="E76" t="inlineStr">
        <is>
          <t>https://youtube.com/channel/UCHM6NIF0WxOp6kB2OSgA9tQ</t>
        </is>
      </c>
      <c r="F76">
        <f>HYPERLINK("mailto:?subject=Collab%20Proposal%3A%20AI%203D%20Tools%20for%20your%20Audience&amp;body=Hi%20Kitty%20Cotten%2C%0A%0ALove%20your%20content%21%20I%27m%20Doris%20from%20Pacdora...", "Click to Email")</f>
        <v/>
      </c>
    </row>
    <row r="77">
      <c r="A77" t="inlineStr">
        <is>
          <t>Kitty Kiat</t>
        </is>
      </c>
      <c r="B77" t="n">
        <v>26500</v>
      </c>
      <c r="C77" t="inlineStr">
        <is>
          <t>2025-12-03</t>
        </is>
      </c>
      <c r="D77" t="inlineStr">
        <is>
          <t>kitkiat.023@hotmail.com</t>
        </is>
      </c>
      <c r="E77" t="inlineStr">
        <is>
          <t>https://youtube.com/channel/UCKVpSPso23l-PWNG1c_b8qg</t>
        </is>
      </c>
      <c r="F77">
        <f>HYPERLINK("mailto:?subject=Collab%20Proposal%3A%20AI%203D%20Tools%20for%20your%20Audience&amp;body=Hi%20Kitty%20Kiat%2C%0A%0ALove%20your%20content%21%20I%27m%20Doris%20from%20Pacdora...", "Click to Email")</f>
        <v/>
      </c>
    </row>
    <row r="78">
      <c r="A78" t="inlineStr">
        <is>
          <t>Kitty so Cutie</t>
        </is>
      </c>
      <c r="B78" t="n">
        <v>41100</v>
      </c>
      <c r="C78" t="inlineStr">
        <is>
          <t>2026-02-23</t>
        </is>
      </c>
      <c r="D78" t="inlineStr">
        <is>
          <t>gurkanozkan1998@gmail.com</t>
        </is>
      </c>
      <c r="E78" t="inlineStr">
        <is>
          <t>https://youtube.com/channel/UCRXMCAtfqhhcREjtC4CJzwA</t>
        </is>
      </c>
      <c r="F78">
        <f>HYPERLINK("mailto:?subject=Collab%20Proposal%3A%20AI%203D%20Tools%20for%20your%20Audience&amp;body=Hi%20Kitty%20so%20Cutie%2C%0A%0ALove%20your%20content%21%20I%27m%20Doris%20from%20Pacdora...", "Click to Email")</f>
        <v/>
      </c>
    </row>
    <row r="79">
      <c r="A79" t="inlineStr">
        <is>
          <t>kitty whispers</t>
        </is>
      </c>
      <c r="B79" t="n">
        <v>5380</v>
      </c>
      <c r="C79" t="inlineStr">
        <is>
          <t>2026-02-18</t>
        </is>
      </c>
      <c r="D79" t="inlineStr"/>
      <c r="E79" t="inlineStr">
        <is>
          <t>https://youtube.com/channel/UCRdU9Ayr4ZbVcROsdAE0XmQ</t>
        </is>
      </c>
      <c r="F79">
        <f>HYPERLINK("mailto:?subject=Collab%20Proposal%3A%20AI%203D%20Tools%20for%20your%20Audience&amp;body=Hi%20kitty%20whispers%2C%0A%0ALove%20your%20content%21%20I%27m%20Doris%20from%20Pacdora...", "Click to Email")</f>
        <v/>
      </c>
    </row>
    <row r="80">
      <c r="A80" t="inlineStr">
        <is>
          <t xml:space="preserve">kitty tarot </t>
        </is>
      </c>
      <c r="B80" t="n">
        <v>10800</v>
      </c>
      <c r="C80" t="inlineStr">
        <is>
          <t>2026-02-14</t>
        </is>
      </c>
      <c r="D80" t="inlineStr">
        <is>
          <t>kittytarotpersonalreadings@gmail.com</t>
        </is>
      </c>
      <c r="E80" t="inlineStr">
        <is>
          <t>https://youtube.com/channel/UCAF3xIyTuGHJOrdxN6G42pA</t>
        </is>
      </c>
      <c r="F80">
        <f>HYPERLINK("mailto:?subject=Collab%20Proposal%3A%20AI%203D%20Tools%20for%20your%20Audience&amp;body=Hi%20kitty%20tarot%20%2C%0A%0ALove%20your%20content%21%20I%27m%20Doris%20from%20Pacdora...", "Click to Email")</f>
        <v/>
      </c>
    </row>
    <row r="81">
      <c r="A81" t="inlineStr">
        <is>
          <t>Kitty Hug Fitness</t>
        </is>
      </c>
      <c r="B81" t="n">
        <v>37900</v>
      </c>
      <c r="C81" t="inlineStr">
        <is>
          <t>2026-01-27</t>
        </is>
      </c>
      <c r="D81" t="inlineStr"/>
      <c r="E81" t="inlineStr">
        <is>
          <t>https://youtube.com/channel/UCP0YQTklvNoPfV6fPZH_ZjQ</t>
        </is>
      </c>
      <c r="F81">
        <f>HYPERLINK("mailto:?subject=Collab%20Proposal%3A%20AI%203D%20Tools%20for%20your%20Audience&amp;body=Hi%20Kitty%20Hug%20Fitness%2C%0A%0ALove%20your%20content%21%20I%27m%20Doris%20from%20Pacdora...", "Click to Email")</f>
        <v/>
      </c>
    </row>
    <row r="82">
      <c r="A82" t="inlineStr">
        <is>
          <t>Kitty Berry</t>
        </is>
      </c>
      <c r="B82" t="n">
        <v>4400</v>
      </c>
      <c r="C82" t="inlineStr">
        <is>
          <t>2026-02-12</t>
        </is>
      </c>
      <c r="D82" t="inlineStr"/>
      <c r="E82" t="inlineStr">
        <is>
          <t>https://youtube.com/channel/UCbR1OxnjlWDvb5iBMvchJjw</t>
        </is>
      </c>
      <c r="F82">
        <f>HYPERLINK("mailto:?subject=Collab%20Proposal%3A%20AI%203D%20Tools%20for%20your%20Audience&amp;body=Hi%20Kitty%20Berry%2C%0A%0ALove%20your%20content%21%20I%27m%20Doris%20from%20Pacdora...", "Click to Email")</f>
        <v/>
      </c>
    </row>
    <row r="83">
      <c r="A83" t="inlineStr">
        <is>
          <t>KittY</t>
        </is>
      </c>
      <c r="B83" t="n">
        <v>60100</v>
      </c>
      <c r="C83" t="inlineStr">
        <is>
          <t>2026-02-23</t>
        </is>
      </c>
      <c r="D83" t="inlineStr">
        <is>
          <t>pgtdanimarketing@gmail.com</t>
        </is>
      </c>
      <c r="E83" t="inlineStr">
        <is>
          <t>https://youtube.com/channel/UCsPk-8KJBfeH1Y8lzyzbc0g</t>
        </is>
      </c>
      <c r="F83">
        <f>HYPERLINK("mailto:?subject=Collab%20Proposal%3A%20AI%203D%20Tools%20for%20your%20Audience&amp;body=Hi%20KittY%2C%0A%0ALove%20your%20content%21%20I%27m%20Doris%20from%20Pacdora...", "Click to Email")</f>
        <v/>
      </c>
    </row>
    <row r="84">
      <c r="A84" t="inlineStr">
        <is>
          <t>Framer University</t>
        </is>
      </c>
      <c r="B84" t="n">
        <v>73500</v>
      </c>
      <c r="C84" t="inlineStr">
        <is>
          <t>2026-02-23</t>
        </is>
      </c>
      <c r="D84" t="inlineStr"/>
      <c r="E84" t="inlineStr">
        <is>
          <t>https://youtube.com/channel/UCViAB6ONERZ0TaUIWVAmxHw</t>
        </is>
      </c>
      <c r="F84">
        <f>HYPERLINK("mailto:?subject=Collab%20Proposal%3A%20AI%203D%20Tools%20for%20your%20Audience&amp;body=Hi%20Framer%20University%2C%0A%0ALove%20your%20content%21%20I%27m%20Doris%20from%20Pacdora...", "Click to Email")</f>
        <v/>
      </c>
    </row>
    <row r="85">
      <c r="A85" t="inlineStr">
        <is>
          <t>Amazing Framer</t>
        </is>
      </c>
      <c r="B85" t="n">
        <v>4060</v>
      </c>
      <c r="C85" t="inlineStr">
        <is>
          <t>2026-01-24</t>
        </is>
      </c>
      <c r="D85" t="inlineStr"/>
      <c r="E85" t="inlineStr">
        <is>
          <t>https://youtube.com/channel/UCo49e1RKB-zt94EX-8pB7fw</t>
        </is>
      </c>
      <c r="F85">
        <f>HYPERLINK("mailto:?subject=Collab%20Proposal%3A%20AI%203D%20Tools%20for%20your%20Audience&amp;body=Hi%20Amazing%20Framer%2C%0A%0ALove%20your%20content%21%20I%27m%20Doris%20from%20Pacdora...", "Click to Email")</f>
        <v/>
      </c>
    </row>
    <row r="86">
      <c r="A86" t="inlineStr">
        <is>
          <t>Frame.io</t>
        </is>
      </c>
      <c r="B86" t="n">
        <v>27800</v>
      </c>
      <c r="C86" t="inlineStr">
        <is>
          <t>2025-12-04</t>
        </is>
      </c>
      <c r="D86" t="inlineStr"/>
      <c r="E86" t="inlineStr">
        <is>
          <t>https://youtube.com/channel/UCYUZsOjOo6SW9SPdAuI7EjQ</t>
        </is>
      </c>
      <c r="F86">
        <f>HYPERLINK("mailto:?subject=Collab%20Proposal%3A%20AI%203D%20Tools%20for%20your%20Audience&amp;body=Hi%20Frame.io%2C%0A%0ALove%20your%20content%21%20I%27m%20Doris%20from%20Pacdora...", "Click to Email")</f>
        <v/>
      </c>
    </row>
    <row r="87">
      <c r="A87" t="inlineStr">
        <is>
          <t>Short Frame: Award Winning Short Films</t>
        </is>
      </c>
      <c r="B87" t="n">
        <v>78000</v>
      </c>
      <c r="C87" t="inlineStr">
        <is>
          <t>2026-02-20</t>
        </is>
      </c>
      <c r="D87" t="inlineStr"/>
      <c r="E87" t="inlineStr">
        <is>
          <t>https://youtube.com/channel/UCZDcNDRJfmr_dSQJY4pkFJw</t>
        </is>
      </c>
      <c r="F87">
        <f>HYPERLINK("mailto:?subject=Collab%20Proposal%3A%20AI%203D%20Tools%20for%20your%20Audience&amp;body=Hi%20Short%20Frame%3A%20Award%20Winning%20Short%20Films%2C%0A%0ALove%20your%20content%21%20I%27m%20Doris%20from%20Pacdora...", "Click to Email")</f>
        <v/>
      </c>
    </row>
    <row r="88">
      <c r="A88" t="inlineStr">
        <is>
          <t>Let's Go Framer</t>
        </is>
      </c>
      <c r="B88" t="n">
        <v>22400</v>
      </c>
      <c r="C88" t="inlineStr">
        <is>
          <t>2026-02-23</t>
        </is>
      </c>
      <c r="D88" t="inlineStr"/>
      <c r="E88" t="inlineStr">
        <is>
          <t>https://youtube.com/channel/UC372xb_MqQLi6rQg8JHoOKA</t>
        </is>
      </c>
      <c r="F88">
        <f>HYPERLINK("mailto:?subject=Collab%20Proposal%3A%20AI%203D%20Tools%20for%20your%20Audience&amp;body=Hi%20Let%27s%20Go%20Framer%2C%0A%0ALove%20your%20content%21%20I%27m%20Doris%20from%20Pacdora...", "Click to Email")</f>
        <v/>
      </c>
    </row>
    <row r="89">
      <c r="A89" t="inlineStr">
        <is>
          <t>Frame by Frame Animation</t>
        </is>
      </c>
      <c r="B89" t="n">
        <v>15800</v>
      </c>
      <c r="C89" t="inlineStr">
        <is>
          <t>2026-02-23</t>
        </is>
      </c>
      <c r="D89" t="inlineStr"/>
      <c r="E89" t="inlineStr">
        <is>
          <t>https://youtube.com/channel/UCtiy1rktC4G2pinJnzEVLew</t>
        </is>
      </c>
      <c r="F89">
        <f>HYPERLINK("mailto:?subject=Collab%20Proposal%3A%20AI%203D%20Tools%20for%20your%20Audience&amp;body=Hi%20Frame%20by%20Frame%20Animation%2C%0A%0ALove%20your%20content%21%20I%27m%20Doris%20from%20Pacdora...", "Click to Email")</f>
        <v/>
      </c>
    </row>
    <row r="90">
      <c r="A90" t="inlineStr">
        <is>
          <t>Fra in the Frame</t>
        </is>
      </c>
      <c r="B90" t="n">
        <v>80800</v>
      </c>
      <c r="C90" t="inlineStr">
        <is>
          <t>2026-02-20</t>
        </is>
      </c>
      <c r="D90" t="inlineStr"/>
      <c r="E90" t="inlineStr">
        <is>
          <t>https://youtube.com/channel/UCD09SKESs2Q3AJJDFmW6KCw</t>
        </is>
      </c>
      <c r="F90">
        <f>HYPERLINK("mailto:?subject=Collab%20Proposal%3A%20AI%203D%20Tools%20for%20your%20Audience&amp;body=Hi%20Fra%20in%20the%20Frame%2C%0A%0ALove%20your%20content%21%20I%27m%20Doris%20from%20Pacdora...", "Click to Email")</f>
        <v/>
      </c>
    </row>
    <row r="91">
      <c r="A91" t="inlineStr">
        <is>
          <t>Gabriel Menzzo - Creative Framer</t>
        </is>
      </c>
      <c r="B91" t="n">
        <v>4500</v>
      </c>
      <c r="C91" t="inlineStr">
        <is>
          <t>2026-02-18</t>
        </is>
      </c>
      <c r="D91" t="inlineStr"/>
      <c r="E91" t="inlineStr">
        <is>
          <t>https://youtube.com/channel/UCEStCxoBq_S7gb0sbkXBIsA</t>
        </is>
      </c>
      <c r="F91">
        <f>HYPERLINK("mailto:?subject=Collab%20Proposal%3A%20AI%203D%20Tools%20for%20your%20Audience&amp;body=Hi%20Gabriel%20Menzzo%20-%20Creative%20Framer%2C%0A%0ALove%20your%20content%21%20I%27m%20Doris%20from%20Pacdora...", "Click to Email")</f>
        <v/>
      </c>
    </row>
    <row r="92">
      <c r="A92" t="inlineStr">
        <is>
          <t>Framer en Español</t>
        </is>
      </c>
      <c r="B92" t="n">
        <v>2360</v>
      </c>
      <c r="C92" t="inlineStr">
        <is>
          <t>2026-02-23</t>
        </is>
      </c>
      <c r="D92" t="inlineStr"/>
      <c r="E92" t="inlineStr">
        <is>
          <t>https://youtube.com/channel/UCJlFwgx3GgW-NA71isJZVKw</t>
        </is>
      </c>
      <c r="F92">
        <f>HYPERLINK("mailto:?subject=Collab%20Proposal%3A%20AI%203D%20Tools%20for%20your%20Audience&amp;body=Hi%20Framer%20en%20Espa%C3%B1ol%2C%0A%0ALove%20your%20content%21%20I%27m%20Doris%20from%20Pacdora...", "Click to Email")</f>
        <v/>
      </c>
    </row>
    <row r="93">
      <c r="A93" t="inlineStr">
        <is>
          <t>The Artful Frame</t>
        </is>
      </c>
      <c r="B93" t="n">
        <v>62200</v>
      </c>
      <c r="C93" t="inlineStr">
        <is>
          <t>2026-02-21</t>
        </is>
      </c>
      <c r="D93" t="inlineStr"/>
      <c r="E93" t="inlineStr">
        <is>
          <t>https://youtube.com/channel/UCzSv0_nLN9D9qEZH2eCbJOw</t>
        </is>
      </c>
      <c r="F93">
        <f>HYPERLINK("mailto:?subject=Collab%20Proposal%3A%20AI%203D%20Tools%20for%20your%20Audience&amp;body=Hi%20The%20Artful%20Frame%2C%0A%0ALove%20your%20content%21%20I%27m%20Doris%20from%20Pacdora...", "Click to Email")</f>
        <v/>
      </c>
    </row>
    <row r="94">
      <c r="A94" t="inlineStr">
        <is>
          <t>Frame Counting</t>
        </is>
      </c>
      <c r="B94" t="n">
        <v>28100</v>
      </c>
      <c r="C94" t="inlineStr">
        <is>
          <t>2026-02-18</t>
        </is>
      </c>
      <c r="D94" t="inlineStr"/>
      <c r="E94" t="inlineStr">
        <is>
          <t>https://youtube.com/channel/UCCFxzgLOuMDHxdR2DfSwQHg</t>
        </is>
      </c>
      <c r="F94">
        <f>HYPERLINK("mailto:?subject=Collab%20Proposal%3A%20AI%203D%20Tools%20for%20your%20Audience&amp;body=Hi%20Frame%20Counting%2C%0A%0ALove%20your%20content%21%20I%27m%20Doris%20from%20Pacdora...", "Click to Email")</f>
        <v/>
      </c>
    </row>
    <row r="95">
      <c r="A95" t="inlineStr">
        <is>
          <t>Frame Forward Films</t>
        </is>
      </c>
      <c r="B95" t="n">
        <v>1570</v>
      </c>
      <c r="C95" t="inlineStr">
        <is>
          <t>2026-02-10</t>
        </is>
      </c>
      <c r="D95" t="inlineStr"/>
      <c r="E95" t="inlineStr">
        <is>
          <t>https://youtube.com/channel/UCByZD_yeVbZ17hBNvvaHs6Q</t>
        </is>
      </c>
      <c r="F95">
        <f>HYPERLINK("mailto:?subject=Collab%20Proposal%3A%20AI%203D%20Tools%20for%20your%20Audience&amp;body=Hi%20Frame%20Forward%20Films%2C%0A%0ALove%20your%20content%21%20I%27m%20Doris%20from%20Pacdora...", "Click to Email")</f>
        <v/>
      </c>
    </row>
    <row r="96">
      <c r="A96" t="inlineStr">
        <is>
          <t xml:space="preserve">Cargo Site Tutorials </t>
        </is>
      </c>
      <c r="B96" t="n">
        <v>1220</v>
      </c>
      <c r="C96" t="inlineStr">
        <is>
          <t>2026-02-22</t>
        </is>
      </c>
      <c r="D96" t="inlineStr"/>
      <c r="E96" t="inlineStr">
        <is>
          <t>https://youtube.com/channel/UCcDWiHpTZ5IxW2MeIDoTVPQ</t>
        </is>
      </c>
      <c r="F96">
        <f>HYPERLINK("mailto:?subject=Collab%20Proposal%3A%20AI%203D%20Tools%20for%20your%20Audience&amp;body=Hi%20Cargo%20Site%20Tutorials%20%2C%0A%0ALove%20your%20content%21%20I%27m%20Doris%20from%20Pacdora...", "Click to Email")</f>
        <v/>
      </c>
    </row>
    <row r="97">
      <c r="A97" t="inlineStr">
        <is>
          <t>Sketchaa Merch Design</t>
        </is>
      </c>
      <c r="B97" t="n">
        <v>21300</v>
      </c>
      <c r="C97" t="inlineStr">
        <is>
          <t>2026-02-24</t>
        </is>
      </c>
      <c r="D97" t="inlineStr"/>
      <c r="E97" t="inlineStr">
        <is>
          <t>https://youtube.com/channel/UC1XblJD6-l64jZgIAR7t0_A</t>
        </is>
      </c>
      <c r="F97">
        <f>HYPERLINK("mailto:?subject=Collab%20Proposal%3A%20AI%203D%20Tools%20for%20your%20Audience&amp;body=Hi%20Sketchaa%20Merch%20Design%2C%0A%0ALove%20your%20content%21%20I%27m%20Doris%20from%20Pacdora...", "Click to Email")</f>
        <v/>
      </c>
    </row>
    <row r="98">
      <c r="A98" t="inlineStr">
        <is>
          <t>AnywherePOD</t>
        </is>
      </c>
      <c r="B98" t="n">
        <v>3090</v>
      </c>
      <c r="C98" t="inlineStr">
        <is>
          <t>2026-02-11</t>
        </is>
      </c>
      <c r="D98" t="inlineStr"/>
      <c r="E98" t="inlineStr">
        <is>
          <t>https://youtube.com/channel/UCHhXXMkSjcfmlVq5c1yAUiA</t>
        </is>
      </c>
      <c r="F98">
        <f>HYPERLINK("mailto:?subject=Collab%20Proposal%3A%20AI%203D%20Tools%20for%20your%20Audience&amp;body=Hi%20AnywherePOD%2C%0A%0ALove%20your%20content%21%20I%27m%20Doris%20from%20Pacdora...", "Click to Email")</f>
        <v/>
      </c>
    </row>
    <row r="99">
      <c r="A99" t="inlineStr">
        <is>
          <t>Etsy POD Designing</t>
        </is>
      </c>
      <c r="B99" t="n">
        <v>2710</v>
      </c>
      <c r="C99" t="inlineStr">
        <is>
          <t>2026-02-21</t>
        </is>
      </c>
      <c r="D99" t="inlineStr"/>
      <c r="E99" t="inlineStr">
        <is>
          <t>https://youtube.com/channel/UCKZ4S4JmkydoRh31yl4ZlYQ</t>
        </is>
      </c>
      <c r="F99">
        <f>HYPERLINK("mailto:?subject=Collab%20Proposal%3A%20AI%203D%20Tools%20for%20your%20Audience&amp;body=Hi%20Etsy%20POD%20Designing%2C%0A%0ALove%20your%20content%21%20I%27m%20Doris%20from%20Pacdora...", "Click to Email")</f>
        <v/>
      </c>
    </row>
    <row r="100">
      <c r="A100" t="inlineStr">
        <is>
          <t>Selling Digital By HappyAsh</t>
        </is>
      </c>
      <c r="B100" t="n">
        <v>17100</v>
      </c>
      <c r="C100" t="inlineStr">
        <is>
          <t>2026-02-18</t>
        </is>
      </c>
      <c r="D100" t="inlineStr"/>
      <c r="E100" t="inlineStr">
        <is>
          <t>https://youtube.com/channel/UCczFwN34aGWA2-cikbtF_sA</t>
        </is>
      </c>
      <c r="F100">
        <f>HYPERLINK("mailto:?subject=Collab%20Proposal%3A%20AI%203D%20Tools%20for%20your%20Audience&amp;body=Hi%20Selling%20Digital%20By%20HappyAsh%2C%0A%0ALove%20your%20content%21%20I%27m%20Doris%20from%20Pacdora...", "Click to Email")</f>
        <v/>
      </c>
    </row>
    <row r="101">
      <c r="A101" t="inlineStr">
        <is>
          <t>Hanna Tkachenko</t>
        </is>
      </c>
      <c r="B101" t="n">
        <v>9320</v>
      </c>
      <c r="C101" t="inlineStr">
        <is>
          <t>2026-01-10</t>
        </is>
      </c>
      <c r="D101" t="inlineStr"/>
      <c r="E101" t="inlineStr">
        <is>
          <t>https://youtube.com/channel/UCELLLwExASRJWfywO3U7wBg</t>
        </is>
      </c>
      <c r="F101">
        <f>HYPERLINK("mailto:?subject=Collab%20Proposal%3A%20AI%203D%20Tools%20for%20your%20Audience&amp;body=Hi%20Hanna%20Tkachenko%2C%0A%0ALove%20your%20content%21%20I%27m%20Doris%20from%20Pacdora...", "Click to Email")</f>
        <v/>
      </c>
    </row>
    <row r="102">
      <c r="A102" t="inlineStr">
        <is>
          <t>drlindadavis</t>
        </is>
      </c>
      <c r="B102" t="n">
        <v>4910</v>
      </c>
      <c r="C102" t="inlineStr">
        <is>
          <t>2026-02-11</t>
        </is>
      </c>
      <c r="D102" t="inlineStr"/>
      <c r="E102" t="inlineStr">
        <is>
          <t>https://youtube.com/channel/UCtnSH74yxBtZ3Jig3dfE2yQ</t>
        </is>
      </c>
      <c r="F102">
        <f>HYPERLINK("mailto:?subject=Collab%20Proposal%3A%20AI%203D%20Tools%20for%20your%20Audience&amp;body=Hi%20drlindadavis%2C%0A%0ALove%20your%20content%21%20I%27m%20Doris%20from%20Pacdora...",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2026-02-24T08:55:20Z</dcterms:created>
  <dcterms:modified xsi:type="dcterms:W3CDTF">2026-02-24T08:55:20Z</dcterms:modified>
</cp:coreProperties>
</file>